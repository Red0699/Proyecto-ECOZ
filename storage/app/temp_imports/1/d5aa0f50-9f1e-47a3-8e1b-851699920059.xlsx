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milia\Downloads\"/>
    </mc:Choice>
  </mc:AlternateContent>
  <xr:revisionPtr revIDLastSave="0" documentId="13_ncr:1_{0A77E1E9-972E-4490-9884-15FB79575BA1}" xr6:coauthVersionLast="47" xr6:coauthVersionMax="47" xr10:uidLastSave="{00000000-0000-0000-0000-000000000000}"/>
  <bookViews>
    <workbookView xWindow="-120" yWindow="-120" windowWidth="20730" windowHeight="11310" xr2:uid="{DDA331E6-3DAC-44E4-81F2-CF9AA5A08CBE}"/>
  </bookViews>
  <sheets>
    <sheet name="Cota" sheetId="1" r:id="rId1"/>
    <sheet name="Masa de vapor - Cota" sheetId="6" r:id="rId2"/>
    <sheet name="Densidad según 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H2" i="1"/>
  <c r="M2" i="1"/>
  <c r="N2" i="1"/>
  <c r="O2" i="1"/>
  <c r="R2" i="1"/>
  <c r="S2" i="1"/>
  <c r="X2" i="1"/>
  <c r="Y2" i="1"/>
  <c r="Z2" i="1"/>
  <c r="H3" i="1"/>
  <c r="M3" i="1"/>
  <c r="N3" i="1" s="1"/>
  <c r="O3" i="1" s="1"/>
  <c r="X3" i="1"/>
  <c r="Y3" i="1"/>
  <c r="Z3" i="1"/>
  <c r="H4" i="1"/>
  <c r="M4" i="1"/>
  <c r="N4" i="1"/>
  <c r="O4" i="1" s="1"/>
  <c r="X4" i="1"/>
  <c r="Y4" i="1"/>
  <c r="Z4" i="1"/>
  <c r="H5" i="1"/>
  <c r="M5" i="1"/>
  <c r="N5" i="1"/>
  <c r="O5" i="1"/>
  <c r="X5" i="1"/>
  <c r="Y5" i="1"/>
  <c r="Z5" i="1"/>
  <c r="H6" i="1"/>
  <c r="M6" i="1"/>
  <c r="N6" i="1" s="1"/>
  <c r="O6" i="1" s="1"/>
  <c r="X6" i="1"/>
  <c r="Y6" i="1"/>
  <c r="Z6" i="1"/>
  <c r="H7" i="1"/>
  <c r="M7" i="1"/>
  <c r="N7" i="1"/>
  <c r="O7" i="1" s="1"/>
  <c r="X7" i="1"/>
  <c r="Y7" i="1"/>
  <c r="Z7" i="1"/>
  <c r="H8" i="1"/>
  <c r="M8" i="1"/>
  <c r="N8" i="1"/>
  <c r="O8" i="1"/>
  <c r="X8" i="1"/>
  <c r="Y8" i="1"/>
  <c r="Z8" i="1"/>
  <c r="H9" i="1"/>
  <c r="M9" i="1"/>
  <c r="N9" i="1"/>
  <c r="O9" i="1"/>
  <c r="X9" i="1"/>
  <c r="Y9" i="1"/>
  <c r="Z9" i="1"/>
  <c r="H10" i="1"/>
  <c r="M10" i="1"/>
  <c r="N10" i="1" s="1"/>
  <c r="O10" i="1" s="1"/>
  <c r="X10" i="1"/>
  <c r="Y10" i="1"/>
  <c r="Z10" i="1"/>
  <c r="H11" i="1"/>
  <c r="M11" i="1"/>
  <c r="N11" i="1"/>
  <c r="O11" i="1" s="1"/>
  <c r="X11" i="1"/>
  <c r="Y11" i="1"/>
  <c r="Z11" i="1"/>
  <c r="H12" i="1"/>
  <c r="M12" i="1"/>
  <c r="N12" i="1"/>
  <c r="O12" i="1"/>
  <c r="X12" i="1"/>
  <c r="Y12" i="1"/>
  <c r="Z12" i="1"/>
  <c r="H13" i="1"/>
  <c r="M13" i="1"/>
  <c r="N13" i="1"/>
  <c r="O13" i="1"/>
  <c r="X13" i="1"/>
  <c r="Y13" i="1"/>
  <c r="Z13" i="1"/>
  <c r="H14" i="1"/>
  <c r="M14" i="1"/>
  <c r="N14" i="1" s="1"/>
  <c r="O14" i="1" s="1"/>
  <c r="X14" i="1"/>
  <c r="Y14" i="1"/>
  <c r="Z14" i="1"/>
  <c r="H15" i="1"/>
  <c r="M15" i="1"/>
  <c r="N15" i="1"/>
  <c r="O15" i="1" s="1"/>
  <c r="X15" i="1"/>
  <c r="Y15" i="1"/>
  <c r="Z15" i="1"/>
  <c r="H16" i="1"/>
  <c r="M16" i="1"/>
  <c r="N16" i="1"/>
  <c r="O16" i="1"/>
  <c r="X16" i="1"/>
  <c r="Y16" i="1"/>
  <c r="Z16" i="1"/>
  <c r="H17" i="1"/>
  <c r="M17" i="1"/>
  <c r="N17" i="1"/>
  <c r="O17" i="1"/>
  <c r="X17" i="1"/>
  <c r="Y17" i="1"/>
  <c r="Z17" i="1"/>
  <c r="H18" i="1"/>
  <c r="M18" i="1"/>
  <c r="N18" i="1" s="1"/>
  <c r="O18" i="1" s="1"/>
  <c r="X18" i="1"/>
  <c r="Y18" i="1"/>
  <c r="Z18" i="1"/>
  <c r="H19" i="1"/>
  <c r="M19" i="1"/>
  <c r="N19" i="1"/>
  <c r="O19" i="1" s="1"/>
  <c r="X19" i="1"/>
  <c r="Y19" i="1"/>
  <c r="Z19" i="1"/>
  <c r="H20" i="1"/>
  <c r="M20" i="1"/>
  <c r="N20" i="1"/>
  <c r="O20" i="1"/>
  <c r="X20" i="1"/>
  <c r="Y20" i="1"/>
  <c r="Z20" i="1"/>
  <c r="H21" i="1"/>
  <c r="M21" i="1"/>
  <c r="N21" i="1"/>
  <c r="O21" i="1"/>
  <c r="X21" i="1"/>
  <c r="Y21" i="1"/>
  <c r="Z21" i="1"/>
  <c r="H22" i="1"/>
  <c r="M22" i="1"/>
  <c r="N22" i="1" s="1"/>
  <c r="O22" i="1" s="1"/>
  <c r="X22" i="1"/>
  <c r="Y22" i="1"/>
  <c r="Z22" i="1"/>
  <c r="H23" i="1"/>
  <c r="M23" i="1"/>
  <c r="N23" i="1"/>
  <c r="O23" i="1" s="1"/>
  <c r="X23" i="1"/>
  <c r="Y23" i="1"/>
  <c r="Z23" i="1"/>
  <c r="H24" i="1"/>
  <c r="M24" i="1"/>
  <c r="N24" i="1"/>
  <c r="O24" i="1"/>
  <c r="X24" i="1"/>
  <c r="Y24" i="1"/>
  <c r="Z24" i="1"/>
  <c r="H25" i="1"/>
  <c r="M25" i="1"/>
  <c r="N25" i="1"/>
  <c r="O25" i="1"/>
  <c r="X25" i="1"/>
  <c r="Y25" i="1"/>
  <c r="Z25" i="1"/>
  <c r="F2" i="6" l="1"/>
  <c r="C2" i="6" a="1"/>
  <c r="C2" i="6" s="1"/>
  <c r="D27" i="4"/>
  <c r="E27" i="4" s="1"/>
  <c r="D26" i="4"/>
  <c r="E26" i="4" s="1"/>
  <c r="D25" i="4"/>
  <c r="E25" i="4" s="1"/>
  <c r="D24" i="4"/>
  <c r="E24" i="4" s="1"/>
  <c r="D23" i="4"/>
  <c r="E23" i="4" s="1"/>
  <c r="E22" i="4"/>
  <c r="D22" i="4"/>
  <c r="D21" i="4"/>
  <c r="E21" i="4" s="1"/>
  <c r="E20" i="4"/>
  <c r="D20" i="4"/>
  <c r="D19" i="4"/>
  <c r="E19" i="4" s="1"/>
  <c r="E18" i="4"/>
  <c r="D18" i="4"/>
  <c r="D17" i="4"/>
  <c r="E17" i="4" s="1"/>
  <c r="E16" i="4"/>
  <c r="D16" i="4"/>
  <c r="D15" i="4"/>
  <c r="E15" i="4" s="1"/>
  <c r="E14" i="4"/>
  <c r="D14" i="4"/>
  <c r="D13" i="4"/>
  <c r="E13" i="4" s="1"/>
  <c r="E12" i="4"/>
  <c r="D12" i="4"/>
  <c r="D11" i="4"/>
  <c r="E11" i="4" s="1"/>
  <c r="E10" i="4"/>
  <c r="D10" i="4"/>
  <c r="D9" i="4"/>
  <c r="E9" i="4" s="1"/>
  <c r="E8" i="4"/>
  <c r="D8" i="4"/>
  <c r="D7" i="4"/>
  <c r="E7" i="4" s="1"/>
  <c r="E6" i="4"/>
  <c r="D6" i="4"/>
  <c r="D5" i="4"/>
  <c r="E5" i="4" s="1"/>
  <c r="E4" i="4"/>
  <c r="D4" i="4"/>
  <c r="D3" i="4"/>
  <c r="E3" i="4" s="1"/>
  <c r="T2" i="1" l="1"/>
  <c r="U2" i="1" s="1"/>
  <c r="Q2" i="1"/>
  <c r="V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<sst xmlns="http://schemas.openxmlformats.org/spreadsheetml/2006/main" count="91" uniqueCount="47">
  <si>
    <t>Fecha</t>
  </si>
  <si>
    <t>Hora</t>
  </si>
  <si>
    <t>Temperatura ambiente (°C)</t>
  </si>
  <si>
    <t>Velocidad del viento</t>
  </si>
  <si>
    <t>Humedad ambiente</t>
  </si>
  <si>
    <t>Temperatura interna (°C)</t>
  </si>
  <si>
    <t>Volumen (gl)</t>
  </si>
  <si>
    <t>Ventas diarias (gl)</t>
  </si>
  <si>
    <t>Diámetro del tanque (in)</t>
  </si>
  <si>
    <t>Presión hidrostática p=p*g*h (pa)</t>
  </si>
  <si>
    <t>Presión hidrostática (kPa)</t>
  </si>
  <si>
    <t>Presión por libra cuadrada (Psi)</t>
  </si>
  <si>
    <t>Emisión de vapor (kg/día) - Respiración COV</t>
  </si>
  <si>
    <t>Valor faltante o sobrante diario (gl) - Según fórmula</t>
  </si>
  <si>
    <t>Emisión de vapor (kg/día) - Trabajo en el tanque COV</t>
  </si>
  <si>
    <t>Pérdidas totales de emisión de vapor (kg/día) COV</t>
  </si>
  <si>
    <t>Sumatoria valor faltante o sobrante diario (gl) - Según fórmulas</t>
  </si>
  <si>
    <t>Valor faltante o sobrante diario (gl) - Según eds</t>
  </si>
  <si>
    <t>Presión de Sat de Octano MmHg</t>
  </si>
  <si>
    <t>Presión de Sat de n- Heptano</t>
  </si>
  <si>
    <t>Presión de Sat de Tolueno</t>
  </si>
  <si>
    <t>4 Km/h</t>
  </si>
  <si>
    <t>6 Km/h</t>
  </si>
  <si>
    <t>7 Km/h</t>
  </si>
  <si>
    <t>9 Km/h</t>
  </si>
  <si>
    <t>11 Km/h</t>
  </si>
  <si>
    <t>13 Km/h</t>
  </si>
  <si>
    <t>Descargue combustible</t>
  </si>
  <si>
    <t>90.9 in</t>
  </si>
  <si>
    <t>Sustancia</t>
  </si>
  <si>
    <t>Constante A</t>
  </si>
  <si>
    <t>Constante B</t>
  </si>
  <si>
    <t xml:space="preserve">Constante C </t>
  </si>
  <si>
    <t>n-Heptano</t>
  </si>
  <si>
    <t>Tolueno</t>
  </si>
  <si>
    <t>n-Octano</t>
  </si>
  <si>
    <t>Temperatura (°C)</t>
  </si>
  <si>
    <t>Densidad (kg/m³)</t>
  </si>
  <si>
    <t>GE</t>
  </si>
  <si>
    <t>API</t>
  </si>
  <si>
    <t>Gravedad</t>
  </si>
  <si>
    <t>Día</t>
  </si>
  <si>
    <t>Masa de vapor</t>
  </si>
  <si>
    <t>Ke</t>
  </si>
  <si>
    <t>Wv</t>
  </si>
  <si>
    <t>Temperatura interna Kelvin</t>
  </si>
  <si>
    <t>COV convertir a kg de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</si>
</sst>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10" borderId="0" xfId="0" applyFill="1"/>
    <xf numFmtId="2" fontId="5" fillId="0" borderId="1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46F8-7918-489C-A690-BACFF85E0AD5}">
  <sheetPr>
    <tabColor theme="8" tint="0.39997558519241921"/>
  </sheetPr>
  <dimension ref="B1:AG25"/>
  <sheetViews>
    <sheetView tabSelected="1" zoomScale="80" zoomScaleNormal="80" workbookViewId="0">
      <selection activeCell="P2" sqref="P2:P25"/>
    </sheetView>
  </sheetViews>
  <sheetFormatPr baseColWidth="10" defaultRowHeight="15" x14ac:dyDescent="0.25"/>
  <cols>
    <col min="1" max="1" width="3.28515625" customWidth="1"/>
    <col min="2" max="2" width="12.140625" customWidth="1"/>
    <col min="4" max="4" width="13.7109375" customWidth="1"/>
    <col min="7" max="7" width="14" customWidth="1"/>
    <col min="8" max="8" width="14.42578125" customWidth="1"/>
    <col min="10" max="10" width="13.5703125" customWidth="1"/>
    <col min="13" max="14" width="12.5703125" customWidth="1"/>
    <col min="15" max="15" width="16.140625" customWidth="1"/>
    <col min="16" max="16" width="16.28515625" customWidth="1"/>
    <col min="17" max="17" width="19.140625" customWidth="1"/>
    <col min="18" max="18" width="17.7109375" customWidth="1"/>
    <col min="19" max="19" width="15.85546875" customWidth="1"/>
    <col min="20" max="20" width="16.85546875" customWidth="1"/>
    <col min="21" max="21" width="16.28515625" customWidth="1"/>
    <col min="22" max="22" width="16.85546875" customWidth="1"/>
    <col min="23" max="23" width="15.7109375" customWidth="1"/>
    <col min="24" max="24" width="17.140625" customWidth="1"/>
    <col min="25" max="25" width="14.85546875" customWidth="1"/>
  </cols>
  <sheetData>
    <row r="1" spans="2:33" ht="80.25" customHeight="1" x14ac:dyDescent="0.25">
      <c r="B1" s="7" t="s">
        <v>0</v>
      </c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45</v>
      </c>
      <c r="I1" s="8" t="s">
        <v>6</v>
      </c>
      <c r="J1" s="8" t="s">
        <v>27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2" t="s">
        <v>13</v>
      </c>
      <c r="R1" s="1" t="s">
        <v>14</v>
      </c>
      <c r="S1" s="2" t="s">
        <v>13</v>
      </c>
      <c r="T1" s="3" t="s">
        <v>15</v>
      </c>
      <c r="U1" s="4" t="s">
        <v>46</v>
      </c>
      <c r="V1" s="5" t="s">
        <v>16</v>
      </c>
      <c r="W1" s="5" t="s">
        <v>17</v>
      </c>
      <c r="X1" s="6" t="s">
        <v>18</v>
      </c>
      <c r="Y1" s="6" t="s">
        <v>19</v>
      </c>
      <c r="Z1" s="6" t="s">
        <v>20</v>
      </c>
      <c r="AC1" s="14" t="s">
        <v>29</v>
      </c>
      <c r="AD1" s="14" t="s">
        <v>30</v>
      </c>
      <c r="AE1" s="14" t="s">
        <v>31</v>
      </c>
      <c r="AF1" s="14" t="s">
        <v>32</v>
      </c>
      <c r="AG1" s="14" t="s">
        <v>40</v>
      </c>
    </row>
    <row r="2" spans="2:33" ht="15.75" x14ac:dyDescent="0.25">
      <c r="B2" s="10">
        <v>45908</v>
      </c>
      <c r="C2" s="11">
        <v>0</v>
      </c>
      <c r="D2" s="9">
        <v>11</v>
      </c>
      <c r="E2" s="9" t="s">
        <v>21</v>
      </c>
      <c r="F2" s="12">
        <v>0.9</v>
      </c>
      <c r="G2" s="9">
        <v>19</v>
      </c>
      <c r="H2" s="9">
        <f>D2+273</f>
        <v>284</v>
      </c>
      <c r="I2" s="9">
        <v>7502</v>
      </c>
      <c r="J2" s="9">
        <v>0</v>
      </c>
      <c r="K2" s="33">
        <v>2734.05</v>
      </c>
      <c r="L2" s="9" t="s">
        <v>28</v>
      </c>
      <c r="M2" s="24">
        <f>'Densidad según T'!C17*Cota!$AG$2*1.374</f>
        <v>9936.6745680000022</v>
      </c>
      <c r="N2" s="23">
        <f>M2/1000</f>
        <v>9.9366745680000026</v>
      </c>
      <c r="O2" s="23">
        <f>N2*0.145038</f>
        <v>1.4411954059935843</v>
      </c>
      <c r="P2" s="34">
        <f>((4.137*1.234)*('Masa de vapor - Cota'!C2)*'Masa de vapor - Cota'!F2*'Masa de vapor - Cota'!I2*1)/10</f>
        <v>1.2073600163428459E-2</v>
      </c>
      <c r="Q2" s="27">
        <f>(P2/0.74)/3.785</f>
        <v>4.3106145037054011E-3</v>
      </c>
      <c r="R2" s="27">
        <f>(J17*3.785)*1*1*'Masa de vapor - Cota'!I2*1/1000</f>
        <v>0</v>
      </c>
      <c r="S2" s="32">
        <f>(R2/0.74)/3.785</f>
        <v>0</v>
      </c>
      <c r="T2" s="34">
        <f>P2+R2</f>
        <v>1.2073600163428459E-2</v>
      </c>
      <c r="U2" s="27">
        <f>T2*0.84*(44/12)</f>
        <v>3.7186688503359648E-2</v>
      </c>
      <c r="V2" s="27">
        <f>Q2+S2</f>
        <v>4.3106145037054011E-3</v>
      </c>
      <c r="W2" s="32">
        <v>-5</v>
      </c>
      <c r="X2" s="19">
        <f>10^($AD$4-$AE$4/(D2+$AF$4))</f>
        <v>37.606001331849185</v>
      </c>
      <c r="Y2" s="19">
        <f>10^($AD$2-$AE$2/(D2+$AF$2))</f>
        <v>21.859874876253098</v>
      </c>
      <c r="Z2" s="19">
        <f>10^($AD$3-$AE$3/(D2+$AF$3))</f>
        <v>13.167724704123099</v>
      </c>
      <c r="AC2" s="13" t="s">
        <v>33</v>
      </c>
      <c r="AD2" s="15">
        <v>6.8939000000000004</v>
      </c>
      <c r="AE2" s="15">
        <v>1264.3699999999999</v>
      </c>
      <c r="AF2" s="15">
        <v>216.64</v>
      </c>
      <c r="AG2" s="26">
        <v>9.81</v>
      </c>
    </row>
    <row r="3" spans="2:33" ht="15.75" x14ac:dyDescent="0.25">
      <c r="B3" s="10">
        <v>45908</v>
      </c>
      <c r="C3" s="11">
        <v>4.1666666666666699E-2</v>
      </c>
      <c r="D3" s="9">
        <v>11</v>
      </c>
      <c r="E3" s="9" t="s">
        <v>21</v>
      </c>
      <c r="F3" s="12">
        <v>0.91</v>
      </c>
      <c r="G3" s="9">
        <v>20</v>
      </c>
      <c r="H3" s="9">
        <f t="shared" ref="H3:H25" si="0">D3+273</f>
        <v>284</v>
      </c>
      <c r="I3" s="9">
        <v>7483</v>
      </c>
      <c r="J3" s="9">
        <v>0</v>
      </c>
      <c r="K3" s="33"/>
      <c r="L3" s="9" t="s">
        <v>28</v>
      </c>
      <c r="M3" s="24">
        <f>'Densidad según T'!C18*Cota!$AG$2*1.372</f>
        <v>9912.7891800000016</v>
      </c>
      <c r="N3" s="23">
        <f t="shared" ref="N3:N25" si="1">M3/1000</f>
        <v>9.9127891800000008</v>
      </c>
      <c r="O3" s="23">
        <f t="shared" ref="O3:O25" si="2">N3*0.145038</f>
        <v>1.43773111708884</v>
      </c>
      <c r="P3" s="35"/>
      <c r="Q3" s="28"/>
      <c r="R3" s="28"/>
      <c r="S3" s="30"/>
      <c r="T3" s="30"/>
      <c r="U3" s="28"/>
      <c r="V3" s="30"/>
      <c r="W3" s="30"/>
      <c r="X3" s="19">
        <f t="shared" ref="X3:X25" si="3">10^($AD$4-$AE$4/(D3+$AF$4))</f>
        <v>37.606001331849185</v>
      </c>
      <c r="Y3" s="19">
        <f t="shared" ref="Y3:Y25" si="4">10^($AD$2-$AE$2/(D3+$AF$2))</f>
        <v>21.859874876253098</v>
      </c>
      <c r="Z3" s="19">
        <f t="shared" ref="Z3:Z25" si="5">10^($AD$3-$AE$3/(D3+$AF$3))</f>
        <v>13.167724704123099</v>
      </c>
      <c r="AC3" s="13" t="s">
        <v>34</v>
      </c>
      <c r="AD3" s="15">
        <v>6.9508999999999999</v>
      </c>
      <c r="AE3" s="16">
        <v>1342.31</v>
      </c>
      <c r="AF3" s="17">
        <v>219.18700000000001</v>
      </c>
    </row>
    <row r="4" spans="2:33" ht="15.75" x14ac:dyDescent="0.25">
      <c r="B4" s="10">
        <v>45908</v>
      </c>
      <c r="C4" s="11">
        <v>8.3333333333333398E-2</v>
      </c>
      <c r="D4" s="9">
        <v>10</v>
      </c>
      <c r="E4" s="9" t="s">
        <v>21</v>
      </c>
      <c r="F4" s="12">
        <v>0.96</v>
      </c>
      <c r="G4" s="9">
        <v>20</v>
      </c>
      <c r="H4" s="9">
        <f t="shared" si="0"/>
        <v>283</v>
      </c>
      <c r="I4" s="9">
        <v>7469</v>
      </c>
      <c r="J4" s="9">
        <v>0</v>
      </c>
      <c r="K4" s="33"/>
      <c r="L4" s="9" t="s">
        <v>28</v>
      </c>
      <c r="M4" s="24">
        <f>'Densidad según T'!C18*Cota!$AG$2*1.368</f>
        <v>9883.8889200000012</v>
      </c>
      <c r="N4" s="23">
        <f t="shared" si="1"/>
        <v>9.8838889200000004</v>
      </c>
      <c r="O4" s="23">
        <f t="shared" si="2"/>
        <v>1.4335394811789601</v>
      </c>
      <c r="P4" s="35"/>
      <c r="Q4" s="28"/>
      <c r="R4" s="28"/>
      <c r="S4" s="30"/>
      <c r="T4" s="30"/>
      <c r="U4" s="28"/>
      <c r="V4" s="30"/>
      <c r="W4" s="30"/>
      <c r="X4" s="19">
        <f t="shared" si="3"/>
        <v>36.554335956554979</v>
      </c>
      <c r="Y4" s="19">
        <f t="shared" si="4"/>
        <v>20.660495558272114</v>
      </c>
      <c r="Z4" s="19">
        <f t="shared" si="5"/>
        <v>12.418436860407031</v>
      </c>
      <c r="AC4" s="13" t="s">
        <v>35</v>
      </c>
      <c r="AD4" s="18">
        <v>1.7113</v>
      </c>
      <c r="AE4" s="13">
        <v>1.6385000000000001</v>
      </c>
      <c r="AF4" s="13">
        <v>1.044</v>
      </c>
    </row>
    <row r="5" spans="2:33" ht="15.75" x14ac:dyDescent="0.25">
      <c r="B5" s="10">
        <v>45908</v>
      </c>
      <c r="C5" s="11">
        <v>0.125</v>
      </c>
      <c r="D5" s="9">
        <v>10</v>
      </c>
      <c r="E5" s="9" t="s">
        <v>21</v>
      </c>
      <c r="F5" s="12">
        <v>0.96</v>
      </c>
      <c r="G5" s="9">
        <v>20</v>
      </c>
      <c r="H5" s="9">
        <f t="shared" si="0"/>
        <v>283</v>
      </c>
      <c r="I5" s="9">
        <v>7458</v>
      </c>
      <c r="J5" s="9">
        <v>0</v>
      </c>
      <c r="K5" s="33"/>
      <c r="L5" s="9" t="s">
        <v>28</v>
      </c>
      <c r="M5" s="24">
        <f>'Densidad según T'!C18*Cota!$AG$2*1.368</f>
        <v>9883.8889200000012</v>
      </c>
      <c r="N5" s="23">
        <f t="shared" si="1"/>
        <v>9.8838889200000004</v>
      </c>
      <c r="O5" s="23">
        <f t="shared" si="2"/>
        <v>1.4335394811789601</v>
      </c>
      <c r="P5" s="35"/>
      <c r="Q5" s="28"/>
      <c r="R5" s="28"/>
      <c r="S5" s="30"/>
      <c r="T5" s="30"/>
      <c r="U5" s="28"/>
      <c r="V5" s="30"/>
      <c r="W5" s="30"/>
      <c r="X5" s="19">
        <f t="shared" si="3"/>
        <v>36.554335956554979</v>
      </c>
      <c r="Y5" s="19">
        <f t="shared" si="4"/>
        <v>20.660495558272114</v>
      </c>
      <c r="Z5" s="19">
        <f t="shared" si="5"/>
        <v>12.418436860407031</v>
      </c>
    </row>
    <row r="6" spans="2:33" ht="15.75" x14ac:dyDescent="0.25">
      <c r="B6" s="10">
        <v>45908</v>
      </c>
      <c r="C6" s="11">
        <v>0.16666666666666699</v>
      </c>
      <c r="D6" s="9">
        <v>10</v>
      </c>
      <c r="E6" s="9" t="s">
        <v>21</v>
      </c>
      <c r="F6" s="12">
        <v>0.96</v>
      </c>
      <c r="G6" s="9">
        <v>20</v>
      </c>
      <c r="H6" s="9">
        <f t="shared" si="0"/>
        <v>283</v>
      </c>
      <c r="I6" s="9">
        <v>7437</v>
      </c>
      <c r="J6" s="9">
        <v>0</v>
      </c>
      <c r="K6" s="33"/>
      <c r="L6" s="9" t="s">
        <v>28</v>
      </c>
      <c r="M6" s="24">
        <f>'Densidad según T'!C18*Cota!$AG$2*1.364</f>
        <v>9854.9886600000009</v>
      </c>
      <c r="N6" s="23">
        <f t="shared" si="1"/>
        <v>9.8549886600000001</v>
      </c>
      <c r="O6" s="23">
        <f t="shared" si="2"/>
        <v>1.42934784526908</v>
      </c>
      <c r="P6" s="35"/>
      <c r="Q6" s="28"/>
      <c r="R6" s="28"/>
      <c r="S6" s="30"/>
      <c r="T6" s="30"/>
      <c r="U6" s="28"/>
      <c r="V6" s="30"/>
      <c r="W6" s="30"/>
      <c r="X6" s="19">
        <f t="shared" si="3"/>
        <v>36.554335956554979</v>
      </c>
      <c r="Y6" s="19">
        <f t="shared" si="4"/>
        <v>20.660495558272114</v>
      </c>
      <c r="Z6" s="19">
        <f t="shared" si="5"/>
        <v>12.418436860407031</v>
      </c>
    </row>
    <row r="7" spans="2:33" ht="15.75" x14ac:dyDescent="0.25">
      <c r="B7" s="10">
        <v>45908</v>
      </c>
      <c r="C7" s="11">
        <v>0.20833333333333301</v>
      </c>
      <c r="D7" s="9">
        <v>9</v>
      </c>
      <c r="E7" s="9" t="s">
        <v>21</v>
      </c>
      <c r="F7" s="12">
        <v>1</v>
      </c>
      <c r="G7" s="9">
        <v>20</v>
      </c>
      <c r="H7" s="9">
        <f t="shared" si="0"/>
        <v>282</v>
      </c>
      <c r="I7" s="9">
        <v>7383</v>
      </c>
      <c r="J7" s="9">
        <v>0</v>
      </c>
      <c r="K7" s="33"/>
      <c r="L7" s="9" t="s">
        <v>28</v>
      </c>
      <c r="M7" s="24">
        <f>'Densidad según T'!C18*Cota!$AG$2*1.356</f>
        <v>9797.188140000002</v>
      </c>
      <c r="N7" s="23">
        <f t="shared" si="1"/>
        <v>9.7971881400000012</v>
      </c>
      <c r="O7" s="23">
        <f t="shared" si="2"/>
        <v>1.4209645734493201</v>
      </c>
      <c r="P7" s="35"/>
      <c r="Q7" s="28"/>
      <c r="R7" s="28"/>
      <c r="S7" s="30"/>
      <c r="T7" s="30"/>
      <c r="U7" s="28"/>
      <c r="V7" s="30"/>
      <c r="W7" s="30"/>
      <c r="X7" s="19">
        <f t="shared" si="3"/>
        <v>35.331964203470768</v>
      </c>
      <c r="Y7" s="19">
        <f t="shared" si="4"/>
        <v>19.517157871150371</v>
      </c>
      <c r="Z7" s="19">
        <f t="shared" si="5"/>
        <v>11.705773607941959</v>
      </c>
    </row>
    <row r="8" spans="2:33" ht="15.75" x14ac:dyDescent="0.25">
      <c r="B8" s="10">
        <v>45908</v>
      </c>
      <c r="C8" s="11">
        <v>0.25</v>
      </c>
      <c r="D8" s="9">
        <v>8</v>
      </c>
      <c r="E8" s="9" t="s">
        <v>21</v>
      </c>
      <c r="F8" s="12">
        <v>0.97</v>
      </c>
      <c r="G8" s="9">
        <v>19</v>
      </c>
      <c r="H8" s="9">
        <f t="shared" si="0"/>
        <v>281</v>
      </c>
      <c r="I8" s="9">
        <v>7193</v>
      </c>
      <c r="J8" s="9">
        <v>0</v>
      </c>
      <c r="K8" s="33"/>
      <c r="L8" s="9" t="s">
        <v>28</v>
      </c>
      <c r="M8" s="24">
        <f>'Densidad según T'!C17*Cota!$AG$2*1.326</f>
        <v>9589.5418320000008</v>
      </c>
      <c r="N8" s="23">
        <f t="shared" si="1"/>
        <v>9.5895418320000001</v>
      </c>
      <c r="O8" s="23">
        <f t="shared" si="2"/>
        <v>1.390847968229616</v>
      </c>
      <c r="P8" s="35"/>
      <c r="Q8" s="28"/>
      <c r="R8" s="28"/>
      <c r="S8" s="30"/>
      <c r="T8" s="30"/>
      <c r="U8" s="28"/>
      <c r="V8" s="30"/>
      <c r="W8" s="30"/>
      <c r="X8" s="19">
        <f t="shared" si="3"/>
        <v>33.8945727313126</v>
      </c>
      <c r="Y8" s="19">
        <f t="shared" si="4"/>
        <v>18.42774922270301</v>
      </c>
      <c r="Z8" s="19">
        <f t="shared" si="5"/>
        <v>11.028269088385972</v>
      </c>
    </row>
    <row r="9" spans="2:33" ht="15.75" x14ac:dyDescent="0.25">
      <c r="B9" s="10">
        <v>45908</v>
      </c>
      <c r="C9" s="11">
        <v>0.29166666666666702</v>
      </c>
      <c r="D9" s="9">
        <v>11</v>
      </c>
      <c r="E9" s="9" t="s">
        <v>22</v>
      </c>
      <c r="F9" s="12">
        <v>0.92</v>
      </c>
      <c r="G9" s="9">
        <v>20</v>
      </c>
      <c r="H9" s="9">
        <f t="shared" si="0"/>
        <v>284</v>
      </c>
      <c r="I9" s="9">
        <v>6906</v>
      </c>
      <c r="J9" s="9">
        <v>0</v>
      </c>
      <c r="K9" s="33"/>
      <c r="L9" s="9" t="s">
        <v>28</v>
      </c>
      <c r="M9" s="24">
        <f>'Densidad según T'!C18*Cota!$AG$2*1.282</f>
        <v>9262.5333300000002</v>
      </c>
      <c r="N9" s="23">
        <f t="shared" si="1"/>
        <v>9.2625333300000001</v>
      </c>
      <c r="O9" s="23">
        <f t="shared" si="2"/>
        <v>1.3434193091165401</v>
      </c>
      <c r="P9" s="35"/>
      <c r="Q9" s="28"/>
      <c r="R9" s="28"/>
      <c r="S9" s="30"/>
      <c r="T9" s="30"/>
      <c r="U9" s="28"/>
      <c r="V9" s="30"/>
      <c r="W9" s="30"/>
      <c r="X9" s="19">
        <f t="shared" si="3"/>
        <v>37.606001331849185</v>
      </c>
      <c r="Y9" s="19">
        <f t="shared" si="4"/>
        <v>21.859874876253098</v>
      </c>
      <c r="Z9" s="19">
        <f t="shared" si="5"/>
        <v>13.167724704123099</v>
      </c>
    </row>
    <row r="10" spans="2:33" ht="15.75" x14ac:dyDescent="0.25">
      <c r="B10" s="10">
        <v>45908</v>
      </c>
      <c r="C10" s="11">
        <v>0.33333333333333398</v>
      </c>
      <c r="D10" s="9">
        <v>13</v>
      </c>
      <c r="E10" s="9" t="s">
        <v>23</v>
      </c>
      <c r="F10" s="12">
        <v>0.8</v>
      </c>
      <c r="G10" s="9">
        <v>20</v>
      </c>
      <c r="H10" s="9">
        <f t="shared" si="0"/>
        <v>286</v>
      </c>
      <c r="I10" s="9">
        <v>6662</v>
      </c>
      <c r="J10" s="9">
        <v>0</v>
      </c>
      <c r="K10" s="33"/>
      <c r="L10" s="9" t="s">
        <v>28</v>
      </c>
      <c r="M10" s="24">
        <f>'Densidad según T'!C18*Cota!$AG$2*1.244</f>
        <v>8987.9808600000015</v>
      </c>
      <c r="N10" s="23">
        <f t="shared" si="1"/>
        <v>8.9879808600000022</v>
      </c>
      <c r="O10" s="23">
        <f t="shared" si="2"/>
        <v>1.3035987679726804</v>
      </c>
      <c r="P10" s="35"/>
      <c r="Q10" s="28"/>
      <c r="R10" s="28"/>
      <c r="S10" s="30"/>
      <c r="T10" s="30"/>
      <c r="U10" s="28"/>
      <c r="V10" s="30"/>
      <c r="W10" s="30"/>
      <c r="X10" s="19">
        <f t="shared" si="3"/>
        <v>39.321579975265131</v>
      </c>
      <c r="Y10" s="19">
        <f t="shared" si="4"/>
        <v>24.435500181826995</v>
      </c>
      <c r="Z10" s="19">
        <f t="shared" si="5"/>
        <v>14.782260389595134</v>
      </c>
    </row>
    <row r="11" spans="2:33" ht="15.75" x14ac:dyDescent="0.25">
      <c r="B11" s="10">
        <v>45908</v>
      </c>
      <c r="C11" s="11">
        <v>0.375</v>
      </c>
      <c r="D11" s="9">
        <v>15</v>
      </c>
      <c r="E11" s="9" t="s">
        <v>24</v>
      </c>
      <c r="F11" s="12">
        <v>0.7</v>
      </c>
      <c r="G11" s="9">
        <v>20</v>
      </c>
      <c r="H11" s="9">
        <f t="shared" si="0"/>
        <v>288</v>
      </c>
      <c r="I11" s="9">
        <v>6363</v>
      </c>
      <c r="J11" s="9">
        <v>0</v>
      </c>
      <c r="K11" s="33"/>
      <c r="L11" s="9" t="s">
        <v>28</v>
      </c>
      <c r="M11" s="24">
        <f>'Densidad según T'!C18*Cota!$AG$2*1.2</f>
        <v>8670.0779999999995</v>
      </c>
      <c r="N11" s="23">
        <f t="shared" si="1"/>
        <v>8.6700780000000002</v>
      </c>
      <c r="O11" s="23">
        <f t="shared" si="2"/>
        <v>1.2574907729640001</v>
      </c>
      <c r="P11" s="35"/>
      <c r="Q11" s="28"/>
      <c r="R11" s="28"/>
      <c r="S11" s="30"/>
      <c r="T11" s="30"/>
      <c r="U11" s="28"/>
      <c r="V11" s="30"/>
      <c r="W11" s="30"/>
      <c r="X11" s="19">
        <f t="shared" si="3"/>
        <v>40.660676017098957</v>
      </c>
      <c r="Y11" s="19">
        <f t="shared" si="4"/>
        <v>27.262110363608475</v>
      </c>
      <c r="Z11" s="19">
        <f t="shared" si="5"/>
        <v>16.562008731321306</v>
      </c>
    </row>
    <row r="12" spans="2:33" ht="15.75" x14ac:dyDescent="0.25">
      <c r="B12" s="10">
        <v>45908</v>
      </c>
      <c r="C12" s="11">
        <v>0.41666666666666702</v>
      </c>
      <c r="D12" s="9">
        <v>17</v>
      </c>
      <c r="E12" s="9" t="s">
        <v>24</v>
      </c>
      <c r="F12" s="12">
        <v>0.62</v>
      </c>
      <c r="G12" s="9">
        <v>20</v>
      </c>
      <c r="H12" s="9">
        <f t="shared" si="0"/>
        <v>290</v>
      </c>
      <c r="I12" s="9">
        <v>6181</v>
      </c>
      <c r="J12" s="9">
        <v>0</v>
      </c>
      <c r="K12" s="33"/>
      <c r="L12" s="9" t="s">
        <v>28</v>
      </c>
      <c r="M12" s="24">
        <f>'Densidad según T'!C18*Cota!$AG$2*1.172</f>
        <v>8467.7761800000007</v>
      </c>
      <c r="N12" s="23">
        <f t="shared" si="1"/>
        <v>8.4677761800000013</v>
      </c>
      <c r="O12" s="23">
        <f t="shared" si="2"/>
        <v>1.2281493215948402</v>
      </c>
      <c r="P12" s="35"/>
      <c r="Q12" s="28"/>
      <c r="R12" s="28"/>
      <c r="S12" s="30"/>
      <c r="T12" s="30"/>
      <c r="U12" s="28"/>
      <c r="V12" s="30"/>
      <c r="W12" s="30"/>
      <c r="X12" s="19">
        <f t="shared" si="3"/>
        <v>41.734401708972428</v>
      </c>
      <c r="Y12" s="19">
        <f t="shared" si="4"/>
        <v>30.358746683741728</v>
      </c>
      <c r="Z12" s="19">
        <f t="shared" si="5"/>
        <v>18.520342617845706</v>
      </c>
    </row>
    <row r="13" spans="2:33" ht="15.75" x14ac:dyDescent="0.25">
      <c r="B13" s="10">
        <v>45908</v>
      </c>
      <c r="C13" s="11">
        <v>0.45833333333333398</v>
      </c>
      <c r="D13" s="9">
        <v>18</v>
      </c>
      <c r="E13" s="9" t="s">
        <v>25</v>
      </c>
      <c r="F13" s="12">
        <v>0.56000000000000005</v>
      </c>
      <c r="G13" s="9">
        <v>21</v>
      </c>
      <c r="H13" s="9">
        <f t="shared" si="0"/>
        <v>291</v>
      </c>
      <c r="I13" s="9">
        <v>6003</v>
      </c>
      <c r="J13" s="9">
        <v>0</v>
      </c>
      <c r="K13" s="33"/>
      <c r="L13" s="9" t="s">
        <v>28</v>
      </c>
      <c r="M13" s="24">
        <f>'Densidad según T'!C19*Cota!$AG$2*1.146</f>
        <v>8272.0549080000001</v>
      </c>
      <c r="N13" s="23">
        <f t="shared" si="1"/>
        <v>8.2720549079999994</v>
      </c>
      <c r="O13" s="23">
        <f t="shared" si="2"/>
        <v>1.1997622997465038</v>
      </c>
      <c r="P13" s="35"/>
      <c r="Q13" s="28"/>
      <c r="R13" s="28"/>
      <c r="S13" s="30"/>
      <c r="T13" s="30"/>
      <c r="U13" s="28"/>
      <c r="V13" s="30"/>
      <c r="W13" s="30"/>
      <c r="X13" s="19">
        <f t="shared" si="3"/>
        <v>42.195137151324708</v>
      </c>
      <c r="Y13" s="19">
        <f t="shared" si="4"/>
        <v>32.014544238850718</v>
      </c>
      <c r="Z13" s="19">
        <f t="shared" si="5"/>
        <v>19.57086731897536</v>
      </c>
    </row>
    <row r="14" spans="2:33" ht="15.75" x14ac:dyDescent="0.25">
      <c r="B14" s="10">
        <v>45908</v>
      </c>
      <c r="C14" s="11">
        <v>0.5</v>
      </c>
      <c r="D14" s="9">
        <v>19</v>
      </c>
      <c r="E14" s="9" t="s">
        <v>26</v>
      </c>
      <c r="F14" s="12">
        <v>0.53</v>
      </c>
      <c r="G14" s="9">
        <v>21</v>
      </c>
      <c r="H14" s="9">
        <f t="shared" si="0"/>
        <v>292</v>
      </c>
      <c r="I14" s="9">
        <v>5906</v>
      </c>
      <c r="J14" s="9">
        <v>0</v>
      </c>
      <c r="K14" s="33"/>
      <c r="L14" s="9" t="s">
        <v>28</v>
      </c>
      <c r="M14" s="24">
        <f>'Densidad según T'!C19*Cota!$AG$2*1.13</f>
        <v>8156.5637399999996</v>
      </c>
      <c r="N14" s="23">
        <f t="shared" si="1"/>
        <v>8.1565637399999993</v>
      </c>
      <c r="O14" s="23">
        <f t="shared" si="2"/>
        <v>1.1830116917221198</v>
      </c>
      <c r="P14" s="35"/>
      <c r="Q14" s="28"/>
      <c r="R14" s="28"/>
      <c r="S14" s="30"/>
      <c r="T14" s="30"/>
      <c r="U14" s="28"/>
      <c r="V14" s="30"/>
      <c r="W14" s="30"/>
      <c r="X14" s="19">
        <f t="shared" si="3"/>
        <v>42.61424901684353</v>
      </c>
      <c r="Y14" s="19">
        <f t="shared" si="4"/>
        <v>33.745437021983193</v>
      </c>
      <c r="Z14" s="19">
        <f t="shared" si="5"/>
        <v>20.671402020623137</v>
      </c>
    </row>
    <row r="15" spans="2:33" ht="15.75" x14ac:dyDescent="0.25">
      <c r="B15" s="10">
        <v>45908</v>
      </c>
      <c r="C15" s="11">
        <v>0.54166666666666696</v>
      </c>
      <c r="D15" s="9">
        <v>18</v>
      </c>
      <c r="E15" s="9" t="s">
        <v>26</v>
      </c>
      <c r="F15" s="12">
        <v>0.57999999999999996</v>
      </c>
      <c r="G15" s="9">
        <v>21</v>
      </c>
      <c r="H15" s="9">
        <f t="shared" si="0"/>
        <v>291</v>
      </c>
      <c r="I15" s="9">
        <v>5822</v>
      </c>
      <c r="J15" s="9">
        <v>0</v>
      </c>
      <c r="K15" s="33"/>
      <c r="L15" s="9" t="s">
        <v>28</v>
      </c>
      <c r="M15" s="24">
        <f>'Densidad según T'!C19*Cota!$AG$2*1.118</f>
        <v>8069.9453640000011</v>
      </c>
      <c r="N15" s="23">
        <f t="shared" si="1"/>
        <v>8.0699453640000005</v>
      </c>
      <c r="O15" s="23">
        <f t="shared" si="2"/>
        <v>1.170448735703832</v>
      </c>
      <c r="P15" s="35"/>
      <c r="Q15" s="28"/>
      <c r="R15" s="28"/>
      <c r="S15" s="30"/>
      <c r="T15" s="30"/>
      <c r="U15" s="28"/>
      <c r="V15" s="30"/>
      <c r="W15" s="30"/>
      <c r="X15" s="19">
        <f t="shared" si="3"/>
        <v>42.195137151324708</v>
      </c>
      <c r="Y15" s="19">
        <f t="shared" si="4"/>
        <v>32.014544238850718</v>
      </c>
      <c r="Z15" s="19">
        <f t="shared" si="5"/>
        <v>19.57086731897536</v>
      </c>
    </row>
    <row r="16" spans="2:33" ht="15.75" x14ac:dyDescent="0.25">
      <c r="B16" s="10">
        <v>45908</v>
      </c>
      <c r="C16" s="11">
        <v>0.58333333333333404</v>
      </c>
      <c r="D16" s="9">
        <v>18</v>
      </c>
      <c r="E16" s="9" t="s">
        <v>26</v>
      </c>
      <c r="F16" s="12">
        <v>0.57999999999999996</v>
      </c>
      <c r="G16" s="9">
        <v>21</v>
      </c>
      <c r="H16" s="9">
        <f t="shared" si="0"/>
        <v>291</v>
      </c>
      <c r="I16" s="9">
        <v>5743</v>
      </c>
      <c r="J16" s="9">
        <v>0</v>
      </c>
      <c r="K16" s="33"/>
      <c r="L16" s="9" t="s">
        <v>28</v>
      </c>
      <c r="M16" s="24">
        <f>'Densidad según T'!C19*Cota!$AG$2*1.09</f>
        <v>7867.8358200000011</v>
      </c>
      <c r="N16" s="23">
        <f t="shared" si="1"/>
        <v>7.8678358200000016</v>
      </c>
      <c r="O16" s="23">
        <f t="shared" si="2"/>
        <v>1.1411351716611602</v>
      </c>
      <c r="P16" s="35"/>
      <c r="Q16" s="28"/>
      <c r="R16" s="28"/>
      <c r="S16" s="30"/>
      <c r="T16" s="30"/>
      <c r="U16" s="28"/>
      <c r="V16" s="30"/>
      <c r="W16" s="30"/>
      <c r="X16" s="19">
        <f t="shared" si="3"/>
        <v>42.195137151324708</v>
      </c>
      <c r="Y16" s="19">
        <f t="shared" si="4"/>
        <v>32.014544238850718</v>
      </c>
      <c r="Z16" s="19">
        <f t="shared" si="5"/>
        <v>19.57086731897536</v>
      </c>
    </row>
    <row r="17" spans="2:26" ht="15.75" x14ac:dyDescent="0.25">
      <c r="B17" s="10">
        <v>45908</v>
      </c>
      <c r="C17" s="11">
        <v>0.625</v>
      </c>
      <c r="D17" s="9">
        <v>18</v>
      </c>
      <c r="E17" s="9" t="s">
        <v>25</v>
      </c>
      <c r="F17" s="12">
        <v>0.59</v>
      </c>
      <c r="G17" s="9">
        <v>21</v>
      </c>
      <c r="H17" s="9">
        <f t="shared" si="0"/>
        <v>291</v>
      </c>
      <c r="I17" s="9">
        <v>5681</v>
      </c>
      <c r="J17" s="9">
        <v>0</v>
      </c>
      <c r="K17" s="33"/>
      <c r="L17" s="9" t="s">
        <v>28</v>
      </c>
      <c r="M17" s="24">
        <f>'Densidad según T'!C19*Cota!$AG$2*1.096</f>
        <v>7911.1450080000013</v>
      </c>
      <c r="N17" s="23">
        <f t="shared" si="1"/>
        <v>7.911145008000001</v>
      </c>
      <c r="O17" s="23">
        <f t="shared" si="2"/>
        <v>1.1474166496703042</v>
      </c>
      <c r="P17" s="35"/>
      <c r="Q17" s="28"/>
      <c r="R17" s="28"/>
      <c r="S17" s="30"/>
      <c r="T17" s="30"/>
      <c r="U17" s="28"/>
      <c r="V17" s="30"/>
      <c r="W17" s="30"/>
      <c r="X17" s="19">
        <f t="shared" si="3"/>
        <v>42.195137151324708</v>
      </c>
      <c r="Y17" s="19">
        <f t="shared" si="4"/>
        <v>32.014544238850718</v>
      </c>
      <c r="Z17" s="19">
        <f t="shared" si="5"/>
        <v>19.57086731897536</v>
      </c>
    </row>
    <row r="18" spans="2:26" ht="15.75" x14ac:dyDescent="0.25">
      <c r="B18" s="10">
        <v>45908</v>
      </c>
      <c r="C18" s="11">
        <v>0.66666666666666696</v>
      </c>
      <c r="D18" s="9">
        <v>18</v>
      </c>
      <c r="E18" s="9" t="s">
        <v>25</v>
      </c>
      <c r="F18" s="12">
        <v>0.61</v>
      </c>
      <c r="G18" s="9">
        <v>21</v>
      </c>
      <c r="H18" s="9">
        <f t="shared" si="0"/>
        <v>291</v>
      </c>
      <c r="I18" s="9">
        <v>5639</v>
      </c>
      <c r="J18" s="9">
        <v>0</v>
      </c>
      <c r="K18" s="33"/>
      <c r="L18" s="9" t="s">
        <v>28</v>
      </c>
      <c r="M18" s="24">
        <f>'Densidad según T'!C19*Cota!$AG$2*1.09</f>
        <v>7867.8358200000011</v>
      </c>
      <c r="N18" s="23">
        <f t="shared" si="1"/>
        <v>7.8678358200000016</v>
      </c>
      <c r="O18" s="23">
        <f t="shared" si="2"/>
        <v>1.1411351716611602</v>
      </c>
      <c r="P18" s="35"/>
      <c r="Q18" s="28"/>
      <c r="R18" s="28"/>
      <c r="S18" s="30"/>
      <c r="T18" s="30"/>
      <c r="U18" s="28"/>
      <c r="V18" s="30"/>
      <c r="W18" s="30"/>
      <c r="X18" s="19">
        <f t="shared" si="3"/>
        <v>42.195137151324708</v>
      </c>
      <c r="Y18" s="19">
        <f t="shared" si="4"/>
        <v>32.014544238850718</v>
      </c>
      <c r="Z18" s="19">
        <f t="shared" si="5"/>
        <v>19.57086731897536</v>
      </c>
    </row>
    <row r="19" spans="2:26" ht="15.75" x14ac:dyDescent="0.25">
      <c r="B19" s="10">
        <v>45908</v>
      </c>
      <c r="C19" s="11">
        <v>0.70833333333333404</v>
      </c>
      <c r="D19" s="9">
        <v>17</v>
      </c>
      <c r="E19" s="9" t="s">
        <v>24</v>
      </c>
      <c r="F19" s="12">
        <v>0.66</v>
      </c>
      <c r="G19" s="9">
        <v>21</v>
      </c>
      <c r="H19" s="9">
        <f t="shared" si="0"/>
        <v>290</v>
      </c>
      <c r="I19" s="9">
        <v>5533</v>
      </c>
      <c r="J19" s="9">
        <v>0</v>
      </c>
      <c r="K19" s="33"/>
      <c r="L19" s="9" t="s">
        <v>28</v>
      </c>
      <c r="M19" s="24">
        <f>'Densidad según T'!C19*Cota!$AG$2*1.074</f>
        <v>7752.3446520000007</v>
      </c>
      <c r="N19" s="23">
        <f t="shared" si="1"/>
        <v>7.7523446520000006</v>
      </c>
      <c r="O19" s="23">
        <f t="shared" si="2"/>
        <v>1.1243845636367762</v>
      </c>
      <c r="P19" s="35"/>
      <c r="Q19" s="28"/>
      <c r="R19" s="28"/>
      <c r="S19" s="30"/>
      <c r="T19" s="30"/>
      <c r="U19" s="28"/>
      <c r="V19" s="30"/>
      <c r="W19" s="30"/>
      <c r="X19" s="19">
        <f t="shared" si="3"/>
        <v>41.734401708972428</v>
      </c>
      <c r="Y19" s="19">
        <f t="shared" si="4"/>
        <v>30.358746683741728</v>
      </c>
      <c r="Z19" s="19">
        <f t="shared" si="5"/>
        <v>18.520342617845706</v>
      </c>
    </row>
    <row r="20" spans="2:26" ht="15.75" x14ac:dyDescent="0.25">
      <c r="B20" s="10">
        <v>45908</v>
      </c>
      <c r="C20" s="11">
        <v>0.750000000000001</v>
      </c>
      <c r="D20" s="9">
        <v>15</v>
      </c>
      <c r="E20" s="9" t="s">
        <v>24</v>
      </c>
      <c r="F20" s="12">
        <v>0.73</v>
      </c>
      <c r="G20" s="9">
        <v>20</v>
      </c>
      <c r="H20" s="9">
        <f t="shared" si="0"/>
        <v>288</v>
      </c>
      <c r="I20" s="9">
        <v>5414</v>
      </c>
      <c r="J20" s="9">
        <v>0</v>
      </c>
      <c r="K20" s="33"/>
      <c r="L20" s="9" t="s">
        <v>28</v>
      </c>
      <c r="M20" s="24">
        <f>'Densidad según T'!C18*Cota!$AG$2*1.056</f>
        <v>7629.6686400000008</v>
      </c>
      <c r="N20" s="23">
        <f t="shared" si="1"/>
        <v>7.6296686400000011</v>
      </c>
      <c r="O20" s="23">
        <f t="shared" si="2"/>
        <v>1.1065918802083201</v>
      </c>
      <c r="P20" s="35"/>
      <c r="Q20" s="28"/>
      <c r="R20" s="28"/>
      <c r="S20" s="30"/>
      <c r="T20" s="30"/>
      <c r="U20" s="28"/>
      <c r="V20" s="30"/>
      <c r="W20" s="30"/>
      <c r="X20" s="19">
        <f t="shared" si="3"/>
        <v>40.660676017098957</v>
      </c>
      <c r="Y20" s="19">
        <f t="shared" si="4"/>
        <v>27.262110363608475</v>
      </c>
      <c r="Z20" s="19">
        <f t="shared" si="5"/>
        <v>16.562008731321306</v>
      </c>
    </row>
    <row r="21" spans="2:26" ht="15.75" x14ac:dyDescent="0.25">
      <c r="B21" s="10">
        <v>45908</v>
      </c>
      <c r="C21" s="11">
        <v>0.79166666666666696</v>
      </c>
      <c r="D21" s="9">
        <v>14</v>
      </c>
      <c r="E21" s="9" t="s">
        <v>23</v>
      </c>
      <c r="F21" s="12">
        <v>0.8</v>
      </c>
      <c r="G21" s="9">
        <v>20</v>
      </c>
      <c r="H21" s="9">
        <f t="shared" si="0"/>
        <v>287</v>
      </c>
      <c r="I21" s="9">
        <v>5325</v>
      </c>
      <c r="J21" s="9">
        <v>0</v>
      </c>
      <c r="K21" s="33"/>
      <c r="L21" s="9" t="s">
        <v>28</v>
      </c>
      <c r="M21" s="24">
        <f>'Densidad según T'!C18*Cota!$AG$2*1.042</f>
        <v>7528.5177300000005</v>
      </c>
      <c r="N21" s="23">
        <f t="shared" si="1"/>
        <v>7.5285177300000008</v>
      </c>
      <c r="O21" s="23">
        <f t="shared" si="2"/>
        <v>1.0919211545237402</v>
      </c>
      <c r="P21" s="35"/>
      <c r="Q21" s="28"/>
      <c r="R21" s="28"/>
      <c r="S21" s="30"/>
      <c r="T21" s="30"/>
      <c r="U21" s="28"/>
      <c r="V21" s="30"/>
      <c r="W21" s="30"/>
      <c r="X21" s="19">
        <f t="shared" si="3"/>
        <v>40.03005135818416</v>
      </c>
      <c r="Y21" s="19">
        <f t="shared" si="4"/>
        <v>25.816264955878736</v>
      </c>
      <c r="Z21" s="19">
        <f t="shared" si="5"/>
        <v>15.65066489291771</v>
      </c>
    </row>
    <row r="22" spans="2:26" ht="15.75" x14ac:dyDescent="0.25">
      <c r="B22" s="10">
        <v>45908</v>
      </c>
      <c r="C22" s="11">
        <v>0.83333333333333404</v>
      </c>
      <c r="D22" s="9">
        <v>14</v>
      </c>
      <c r="E22" s="9" t="s">
        <v>22</v>
      </c>
      <c r="F22" s="12">
        <v>0.84</v>
      </c>
      <c r="G22" s="9">
        <v>20</v>
      </c>
      <c r="H22" s="9">
        <f t="shared" si="0"/>
        <v>287</v>
      </c>
      <c r="I22" s="9">
        <v>5231</v>
      </c>
      <c r="J22" s="9">
        <v>0</v>
      </c>
      <c r="K22" s="33"/>
      <c r="L22" s="9" t="s">
        <v>28</v>
      </c>
      <c r="M22" s="24">
        <f>'Densidad según T'!C18*Cota!$AG$2*1.028</f>
        <v>7427.3668200000011</v>
      </c>
      <c r="N22" s="23">
        <f t="shared" si="1"/>
        <v>7.4273668200000014</v>
      </c>
      <c r="O22" s="23">
        <f t="shared" si="2"/>
        <v>1.0772504288391602</v>
      </c>
      <c r="P22" s="35"/>
      <c r="Q22" s="28"/>
      <c r="R22" s="28"/>
      <c r="S22" s="30"/>
      <c r="T22" s="30"/>
      <c r="U22" s="28"/>
      <c r="V22" s="30"/>
      <c r="W22" s="30"/>
      <c r="X22" s="19">
        <f t="shared" si="3"/>
        <v>40.03005135818416</v>
      </c>
      <c r="Y22" s="19">
        <f t="shared" si="4"/>
        <v>25.816264955878736</v>
      </c>
      <c r="Z22" s="19">
        <f t="shared" si="5"/>
        <v>15.65066489291771</v>
      </c>
    </row>
    <row r="23" spans="2:26" ht="15.75" x14ac:dyDescent="0.25">
      <c r="B23" s="10">
        <v>45908</v>
      </c>
      <c r="C23" s="11">
        <v>0.875000000000001</v>
      </c>
      <c r="D23" s="9">
        <v>13</v>
      </c>
      <c r="E23" s="9" t="s">
        <v>22</v>
      </c>
      <c r="F23" s="12">
        <v>0.87</v>
      </c>
      <c r="G23" s="9">
        <v>20</v>
      </c>
      <c r="H23" s="9">
        <f t="shared" si="0"/>
        <v>286</v>
      </c>
      <c r="I23" s="9">
        <v>5137</v>
      </c>
      <c r="J23" s="9">
        <v>0</v>
      </c>
      <c r="K23" s="33"/>
      <c r="L23" s="9" t="s">
        <v>28</v>
      </c>
      <c r="M23" s="24">
        <f>'Densidad según T'!C18*Cota!$AG$2*1.014</f>
        <v>7326.2159100000008</v>
      </c>
      <c r="N23" s="23">
        <f t="shared" si="1"/>
        <v>7.3262159100000011</v>
      </c>
      <c r="O23" s="23">
        <f t="shared" si="2"/>
        <v>1.0625797031545801</v>
      </c>
      <c r="P23" s="35"/>
      <c r="Q23" s="28"/>
      <c r="R23" s="28"/>
      <c r="S23" s="30"/>
      <c r="T23" s="30"/>
      <c r="U23" s="28"/>
      <c r="V23" s="30"/>
      <c r="W23" s="30"/>
      <c r="X23" s="19">
        <f t="shared" si="3"/>
        <v>39.321579975265131</v>
      </c>
      <c r="Y23" s="19">
        <f t="shared" si="4"/>
        <v>24.435500181826995</v>
      </c>
      <c r="Z23" s="19">
        <f t="shared" si="5"/>
        <v>14.782260389595134</v>
      </c>
    </row>
    <row r="24" spans="2:26" ht="15.75" x14ac:dyDescent="0.25">
      <c r="B24" s="10">
        <v>45908</v>
      </c>
      <c r="C24" s="11">
        <v>0.91666666666666696</v>
      </c>
      <c r="D24" s="9">
        <v>12</v>
      </c>
      <c r="E24" s="9" t="s">
        <v>22</v>
      </c>
      <c r="F24" s="12">
        <v>0.88</v>
      </c>
      <c r="G24" s="9">
        <v>20</v>
      </c>
      <c r="H24" s="9">
        <f t="shared" si="0"/>
        <v>285</v>
      </c>
      <c r="I24" s="9">
        <v>5010</v>
      </c>
      <c r="J24" s="9">
        <v>0</v>
      </c>
      <c r="K24" s="33"/>
      <c r="L24" s="9" t="s">
        <v>28</v>
      </c>
      <c r="M24" s="24">
        <f>'Densidad según T'!C18*Cota!$AG$2*0.994</f>
        <v>7181.7146100000009</v>
      </c>
      <c r="N24" s="23">
        <f t="shared" si="1"/>
        <v>7.1817146100000011</v>
      </c>
      <c r="O24" s="23">
        <f t="shared" si="2"/>
        <v>1.0416215236051802</v>
      </c>
      <c r="P24" s="35"/>
      <c r="Q24" s="28"/>
      <c r="R24" s="28"/>
      <c r="S24" s="30"/>
      <c r="T24" s="30"/>
      <c r="U24" s="28"/>
      <c r="V24" s="30"/>
      <c r="W24" s="30"/>
      <c r="X24" s="19">
        <f t="shared" si="3"/>
        <v>38.520036608808645</v>
      </c>
      <c r="Y24" s="19">
        <f t="shared" si="4"/>
        <v>23.117466551765183</v>
      </c>
      <c r="Z24" s="19">
        <f t="shared" si="5"/>
        <v>13.955147411594442</v>
      </c>
    </row>
    <row r="25" spans="2:26" ht="15.75" x14ac:dyDescent="0.25">
      <c r="B25" s="10">
        <v>45938</v>
      </c>
      <c r="C25" s="11">
        <v>0.95833333333333404</v>
      </c>
      <c r="D25" s="9">
        <v>11</v>
      </c>
      <c r="E25" s="9" t="s">
        <v>21</v>
      </c>
      <c r="F25" s="12">
        <v>0.9</v>
      </c>
      <c r="G25" s="9">
        <v>19</v>
      </c>
      <c r="H25" s="9">
        <f t="shared" si="0"/>
        <v>284</v>
      </c>
      <c r="I25" s="9">
        <v>4756</v>
      </c>
      <c r="J25" s="9">
        <v>0</v>
      </c>
      <c r="K25" s="33"/>
      <c r="L25" s="9" t="s">
        <v>28</v>
      </c>
      <c r="M25" s="24">
        <f>'Densidad según T'!C17*Cota!$AG$2*0.954</f>
        <v>6899.2631280000005</v>
      </c>
      <c r="N25" s="23">
        <f t="shared" si="1"/>
        <v>6.8992631280000003</v>
      </c>
      <c r="O25" s="23">
        <f t="shared" si="2"/>
        <v>1.0006553255588639</v>
      </c>
      <c r="P25" s="36"/>
      <c r="Q25" s="29"/>
      <c r="R25" s="29"/>
      <c r="S25" s="31"/>
      <c r="T25" s="31"/>
      <c r="U25" s="29"/>
      <c r="V25" s="31"/>
      <c r="W25" s="31"/>
      <c r="X25" s="19">
        <f t="shared" si="3"/>
        <v>37.606001331849185</v>
      </c>
      <c r="Y25" s="19">
        <f t="shared" si="4"/>
        <v>21.859874876253098</v>
      </c>
      <c r="Z25" s="19">
        <f t="shared" si="5"/>
        <v>13.167724704123099</v>
      </c>
    </row>
  </sheetData>
  <mergeCells count="9">
    <mergeCell ref="U2:U25"/>
    <mergeCell ref="V2:V25"/>
    <mergeCell ref="W2:W25"/>
    <mergeCell ref="K2:K25"/>
    <mergeCell ref="P2:P25"/>
    <mergeCell ref="Q2:Q25"/>
    <mergeCell ref="R2:R25"/>
    <mergeCell ref="S2:S25"/>
    <mergeCell ref="T2:T2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247D-328D-4B19-88A0-B41F0DBA0F52}">
  <sheetPr>
    <tabColor theme="8" tint="0.39997558519241921"/>
  </sheetPr>
  <dimension ref="B1:I2"/>
  <sheetViews>
    <sheetView workbookViewId="0">
      <selection activeCell="I3" sqref="I3"/>
    </sheetView>
  </sheetViews>
  <sheetFormatPr baseColWidth="10" defaultRowHeight="15" x14ac:dyDescent="0.25"/>
  <cols>
    <col min="1" max="1" width="3.85546875" customWidth="1"/>
    <col min="3" max="3" width="17" customWidth="1"/>
    <col min="4" max="4" width="3.85546875" customWidth="1"/>
    <col min="7" max="7" width="4.28515625" customWidth="1"/>
  </cols>
  <sheetData>
    <row r="1" spans="2:9" ht="15.75" x14ac:dyDescent="0.25">
      <c r="B1" s="7" t="s">
        <v>41</v>
      </c>
      <c r="C1" s="7" t="s">
        <v>42</v>
      </c>
      <c r="E1" s="7" t="s">
        <v>41</v>
      </c>
      <c r="F1" s="7" t="s">
        <v>43</v>
      </c>
      <c r="H1" s="7" t="s">
        <v>41</v>
      </c>
      <c r="I1" s="7" t="s">
        <v>44</v>
      </c>
    </row>
    <row r="2" spans="2:9" ht="15.75" x14ac:dyDescent="0.25">
      <c r="B2" s="13">
        <v>8</v>
      </c>
      <c r="C2" s="23" cm="1">
        <f t="array" ref="C2">AVERAGE((Cota!M2:M25)*0.105)/(8314+(AVERAGE(Cota!H2:H25)))</f>
        <v>0.10384011606400602</v>
      </c>
      <c r="E2" s="13">
        <v>8</v>
      </c>
      <c r="F2" s="23">
        <f>Cota!K2/AVERAGE(Cota!I2:I25)</f>
        <v>0.4396845286356601</v>
      </c>
      <c r="H2" s="13">
        <v>8</v>
      </c>
      <c r="I2" s="13">
        <v>0.51800000000000002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EDA9-C95F-4886-9290-DD6FD2D9CF15}">
  <sheetPr>
    <tabColor rgb="FFFFC000"/>
  </sheetPr>
  <dimension ref="B1:E27"/>
  <sheetViews>
    <sheetView workbookViewId="0">
      <selection activeCell="G5" sqref="G5"/>
    </sheetView>
  </sheetViews>
  <sheetFormatPr baseColWidth="10" defaultRowHeight="15" x14ac:dyDescent="0.25"/>
  <cols>
    <col min="1" max="1" width="3.42578125" customWidth="1"/>
  </cols>
  <sheetData>
    <row r="1" spans="2:5" x14ac:dyDescent="0.25">
      <c r="D1" s="25"/>
    </row>
    <row r="2" spans="2:5" ht="31.5" x14ac:dyDescent="0.25">
      <c r="B2" s="5" t="s">
        <v>36</v>
      </c>
      <c r="C2" s="5" t="s">
        <v>37</v>
      </c>
      <c r="D2" s="5" t="s">
        <v>38</v>
      </c>
      <c r="E2" s="5" t="s">
        <v>39</v>
      </c>
    </row>
    <row r="3" spans="2:5" ht="15.75" x14ac:dyDescent="0.25">
      <c r="B3" s="20">
        <v>5</v>
      </c>
      <c r="C3" s="21">
        <v>747</v>
      </c>
      <c r="D3" s="13">
        <f>C3/1000</f>
        <v>0.747</v>
      </c>
      <c r="E3" s="22">
        <f>(141.5/D3)-131.5</f>
        <v>57.924364123159307</v>
      </c>
    </row>
    <row r="4" spans="2:5" ht="15.75" x14ac:dyDescent="0.25">
      <c r="B4" s="20">
        <v>6</v>
      </c>
      <c r="C4" s="20">
        <v>746.3</v>
      </c>
      <c r="D4" s="23">
        <f t="shared" ref="D4:D27" si="0">C4/1000</f>
        <v>0.74629999999999996</v>
      </c>
      <c r="E4" s="22">
        <f t="shared" ref="E4:E27" si="1">(141.5/D4)-131.5</f>
        <v>58.102036714457995</v>
      </c>
    </row>
    <row r="5" spans="2:5" ht="15.75" x14ac:dyDescent="0.25">
      <c r="B5" s="20">
        <v>7</v>
      </c>
      <c r="C5" s="20">
        <v>745.6</v>
      </c>
      <c r="D5" s="23">
        <f t="shared" si="0"/>
        <v>0.74560000000000004</v>
      </c>
      <c r="E5" s="22">
        <f t="shared" si="1"/>
        <v>58.280042918454939</v>
      </c>
    </row>
    <row r="6" spans="2:5" ht="15.75" x14ac:dyDescent="0.25">
      <c r="B6" s="20">
        <v>8</v>
      </c>
      <c r="C6" s="20">
        <v>744.9</v>
      </c>
      <c r="D6" s="23">
        <f t="shared" si="0"/>
        <v>0.74490000000000001</v>
      </c>
      <c r="E6" s="22">
        <f t="shared" si="1"/>
        <v>58.458383675661167</v>
      </c>
    </row>
    <row r="7" spans="2:5" ht="15.75" x14ac:dyDescent="0.25">
      <c r="B7" s="20">
        <v>9</v>
      </c>
      <c r="C7" s="20">
        <v>744.2</v>
      </c>
      <c r="D7" s="23">
        <f t="shared" si="0"/>
        <v>0.74420000000000008</v>
      </c>
      <c r="E7" s="22">
        <f t="shared" si="1"/>
        <v>58.637059930126298</v>
      </c>
    </row>
    <row r="8" spans="2:5" ht="15.75" x14ac:dyDescent="0.25">
      <c r="B8" s="20">
        <v>10</v>
      </c>
      <c r="C8" s="20">
        <v>743.5</v>
      </c>
      <c r="D8" s="23">
        <f t="shared" si="0"/>
        <v>0.74350000000000005</v>
      </c>
      <c r="E8" s="22">
        <f t="shared" si="1"/>
        <v>58.816072629455277</v>
      </c>
    </row>
    <row r="9" spans="2:5" ht="15.75" x14ac:dyDescent="0.25">
      <c r="B9" s="20">
        <v>11</v>
      </c>
      <c r="C9" s="20">
        <v>742.8</v>
      </c>
      <c r="D9" s="23">
        <f t="shared" si="0"/>
        <v>0.7427999999999999</v>
      </c>
      <c r="E9" s="22">
        <f t="shared" si="1"/>
        <v>58.995422724825005</v>
      </c>
    </row>
    <row r="10" spans="2:5" ht="15.75" x14ac:dyDescent="0.25">
      <c r="B10" s="20">
        <v>12</v>
      </c>
      <c r="C10" s="20">
        <v>742.1</v>
      </c>
      <c r="D10" s="23">
        <f t="shared" si="0"/>
        <v>0.74209999999999998</v>
      </c>
      <c r="E10" s="22">
        <f t="shared" si="1"/>
        <v>59.17511117100122</v>
      </c>
    </row>
    <row r="11" spans="2:5" ht="15.75" x14ac:dyDescent="0.25">
      <c r="B11" s="20">
        <v>13</v>
      </c>
      <c r="C11" s="20">
        <v>741.4</v>
      </c>
      <c r="D11" s="23">
        <f t="shared" si="0"/>
        <v>0.74139999999999995</v>
      </c>
      <c r="E11" s="22">
        <f t="shared" si="1"/>
        <v>59.355138926355551</v>
      </c>
    </row>
    <row r="12" spans="2:5" ht="15.75" x14ac:dyDescent="0.25">
      <c r="B12" s="20">
        <v>14</v>
      </c>
      <c r="C12" s="20">
        <v>740.7</v>
      </c>
      <c r="D12" s="23">
        <f t="shared" si="0"/>
        <v>0.74070000000000003</v>
      </c>
      <c r="E12" s="22">
        <f t="shared" si="1"/>
        <v>59.5355069528824</v>
      </c>
    </row>
    <row r="13" spans="2:5" ht="15.75" x14ac:dyDescent="0.25">
      <c r="B13" s="20">
        <v>15</v>
      </c>
      <c r="C13" s="20">
        <v>740</v>
      </c>
      <c r="D13" s="13">
        <f t="shared" si="0"/>
        <v>0.74</v>
      </c>
      <c r="E13" s="22">
        <f t="shared" si="1"/>
        <v>59.716216216216225</v>
      </c>
    </row>
    <row r="14" spans="2:5" ht="15.75" x14ac:dyDescent="0.25">
      <c r="B14" s="20">
        <v>16</v>
      </c>
      <c r="C14" s="20">
        <v>739.3</v>
      </c>
      <c r="D14" s="23">
        <f t="shared" si="0"/>
        <v>0.73929999999999996</v>
      </c>
      <c r="E14" s="22">
        <f t="shared" si="1"/>
        <v>59.897267685648586</v>
      </c>
    </row>
    <row r="15" spans="2:5" ht="15.75" x14ac:dyDescent="0.25">
      <c r="B15" s="20">
        <v>17</v>
      </c>
      <c r="C15" s="20">
        <v>738.6</v>
      </c>
      <c r="D15" s="23">
        <f t="shared" si="0"/>
        <v>0.73860000000000003</v>
      </c>
      <c r="E15" s="22">
        <f t="shared" si="1"/>
        <v>60.078662334145662</v>
      </c>
    </row>
    <row r="16" spans="2:5" ht="15.75" x14ac:dyDescent="0.25">
      <c r="B16" s="20">
        <v>18</v>
      </c>
      <c r="C16" s="20">
        <v>737.9</v>
      </c>
      <c r="D16" s="23">
        <f t="shared" si="0"/>
        <v>0.7379</v>
      </c>
      <c r="E16" s="22">
        <f t="shared" si="1"/>
        <v>60.260401138365637</v>
      </c>
    </row>
    <row r="17" spans="2:5" ht="15.75" x14ac:dyDescent="0.25">
      <c r="B17" s="20">
        <v>19</v>
      </c>
      <c r="C17" s="20">
        <v>737.2</v>
      </c>
      <c r="D17" s="23">
        <f t="shared" si="0"/>
        <v>0.73720000000000008</v>
      </c>
      <c r="E17" s="22">
        <f t="shared" si="1"/>
        <v>60.442485078676043</v>
      </c>
    </row>
    <row r="18" spans="2:5" ht="15.75" x14ac:dyDescent="0.25">
      <c r="B18" s="20">
        <v>20</v>
      </c>
      <c r="C18" s="20">
        <v>736.5</v>
      </c>
      <c r="D18" s="23">
        <f t="shared" si="0"/>
        <v>0.73650000000000004</v>
      </c>
      <c r="E18" s="22">
        <f t="shared" si="1"/>
        <v>60.624915139171748</v>
      </c>
    </row>
    <row r="19" spans="2:5" ht="15.75" x14ac:dyDescent="0.25">
      <c r="B19" s="20">
        <v>21</v>
      </c>
      <c r="C19" s="20">
        <v>735.8</v>
      </c>
      <c r="D19" s="23">
        <f t="shared" si="0"/>
        <v>0.73580000000000001</v>
      </c>
      <c r="E19" s="22">
        <f t="shared" si="1"/>
        <v>60.807692307692292</v>
      </c>
    </row>
    <row r="20" spans="2:5" ht="15.75" x14ac:dyDescent="0.25">
      <c r="B20" s="20">
        <v>22</v>
      </c>
      <c r="C20" s="20">
        <v>735.1</v>
      </c>
      <c r="D20" s="23">
        <f t="shared" si="0"/>
        <v>0.73509999999999998</v>
      </c>
      <c r="E20" s="22">
        <f t="shared" si="1"/>
        <v>60.990817575840026</v>
      </c>
    </row>
    <row r="21" spans="2:5" ht="15.75" x14ac:dyDescent="0.25">
      <c r="B21" s="20">
        <v>23</v>
      </c>
      <c r="C21" s="20">
        <v>734.4</v>
      </c>
      <c r="D21" s="23">
        <f t="shared" si="0"/>
        <v>0.73439999999999994</v>
      </c>
      <c r="E21" s="22">
        <f t="shared" si="1"/>
        <v>61.17429193899784</v>
      </c>
    </row>
    <row r="22" spans="2:5" ht="15.75" x14ac:dyDescent="0.25">
      <c r="B22" s="20">
        <v>24</v>
      </c>
      <c r="C22" s="20">
        <v>733.7</v>
      </c>
      <c r="D22" s="23">
        <f t="shared" si="0"/>
        <v>0.73370000000000002</v>
      </c>
      <c r="E22" s="22">
        <f t="shared" si="1"/>
        <v>61.35811639634727</v>
      </c>
    </row>
    <row r="23" spans="2:5" ht="15.75" x14ac:dyDescent="0.25">
      <c r="B23" s="20">
        <v>25</v>
      </c>
      <c r="C23" s="20">
        <v>733</v>
      </c>
      <c r="D23" s="24">
        <f t="shared" si="0"/>
        <v>0.73299999999999998</v>
      </c>
      <c r="E23" s="22">
        <f t="shared" si="1"/>
        <v>61.542291950886778</v>
      </c>
    </row>
    <row r="24" spans="2:5" ht="15.75" x14ac:dyDescent="0.25">
      <c r="B24" s="20">
        <v>26</v>
      </c>
      <c r="C24" s="20">
        <v>732.3</v>
      </c>
      <c r="D24" s="23">
        <f t="shared" si="0"/>
        <v>0.73229999999999995</v>
      </c>
      <c r="E24" s="22">
        <f t="shared" si="1"/>
        <v>61.726819609449706</v>
      </c>
    </row>
    <row r="25" spans="2:5" ht="15.75" x14ac:dyDescent="0.25">
      <c r="B25" s="20">
        <v>27</v>
      </c>
      <c r="C25" s="20">
        <v>731.6</v>
      </c>
      <c r="D25" s="23">
        <f t="shared" si="0"/>
        <v>0.73160000000000003</v>
      </c>
      <c r="E25" s="22">
        <f t="shared" si="1"/>
        <v>61.911700382722785</v>
      </c>
    </row>
    <row r="26" spans="2:5" ht="15.75" x14ac:dyDescent="0.25">
      <c r="B26" s="20">
        <v>28</v>
      </c>
      <c r="C26" s="20">
        <v>730.9</v>
      </c>
      <c r="D26" s="23">
        <f t="shared" si="0"/>
        <v>0.73089999999999999</v>
      </c>
      <c r="E26" s="22">
        <f t="shared" si="1"/>
        <v>62.096935285264749</v>
      </c>
    </row>
    <row r="27" spans="2:5" ht="15.75" x14ac:dyDescent="0.25">
      <c r="B27" s="20">
        <v>29</v>
      </c>
      <c r="C27" s="20">
        <v>730.2</v>
      </c>
      <c r="D27" s="23">
        <f t="shared" si="0"/>
        <v>0.73020000000000007</v>
      </c>
      <c r="E27" s="22">
        <f t="shared" si="1"/>
        <v>62.282525335524497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Cota</vt:lpstr>
      <vt:lpstr>Masa de vapor - Cota</vt:lpstr>
      <vt:lpstr>Densidad según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Campos</dc:creator>
  <cp:lastModifiedBy>YIMMER NICOLAS CAMPOS ROJAS</cp:lastModifiedBy>
  <dcterms:created xsi:type="dcterms:W3CDTF">2025-10-08T20:56:39Z</dcterms:created>
  <dcterms:modified xsi:type="dcterms:W3CDTF">2025-10-12T23:05:06Z</dcterms:modified>
</cp:coreProperties>
</file>